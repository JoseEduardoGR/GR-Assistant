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ómina Empleados" sheetId="1" state="visible" r:id="rId1"/>
  </sheets>
  <definedNames>
    <definedName name="_xlnm._FilterDatabase" localSheetId="0" hidden="1">'Nómina Empleados'!$A$4:$J$8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MXN&quot;;(#,##0&quot; MXN&quot;)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3333"/>
    </font>
    <font>
      <b val="1"/>
      <color rgb="00FFFFFF"/>
      <sz val="12"/>
    </font>
    <font>
      <b val="1"/>
      <color rgb="00FFFFFF"/>
    </font>
    <font>
      <b val="1"/>
      <color rgb="000000CC"/>
    </font>
    <font>
      <color rgb="00000000"/>
    </font>
    <font>
      <b val="1"/>
      <color rgb="00333333"/>
    </font>
    <font>
      <color rgb="0033333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5B9BD5"/>
      </patternFill>
    </fill>
    <fill>
      <patternFill patternType="solid">
        <fgColor rgb="00F3F8FD"/>
      </patternFill>
    </fill>
    <fill>
      <patternFill patternType="solid">
        <fgColor rgb="00DDEBF7"/>
      </patternFill>
    </fill>
    <fill>
      <patternFill patternType="solid">
        <fgColor rgb="00FFF9C4"/>
      </patternFill>
    </fill>
    <fill>
      <patternFill patternType="solid">
        <fgColor rgb="00EAF2F8"/>
      </patternFill>
    </fill>
    <fill>
      <patternFill patternType="solid">
        <fgColor rgb="00F8FBFE"/>
      </patternFill>
    </fill>
  </fills>
  <borders count="4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F75B5"/>
      </left>
      <right style="medium">
        <color rgb="002F75B5"/>
      </right>
      <top style="medium">
        <color rgb="002F75B5"/>
      </top>
      <bottom style="medium">
        <color rgb="002F75B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164" fontId="6" fillId="8" borderId="3" applyAlignment="1" pivotButton="0" quotePrefix="0" xfId="0">
      <alignment horizontal="right" vertical="center"/>
    </xf>
    <xf numFmtId="165" fontId="6" fillId="8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164" fontId="6" fillId="5" borderId="3" applyAlignment="1" pivotButton="0" quotePrefix="0" xfId="0">
      <alignment horizontal="right" vertical="center"/>
    </xf>
    <xf numFmtId="165" fontId="6" fillId="5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1" fontId="6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Neto por Empleado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'Nómina Empleados'!G4</f>
            </strRef>
          </tx>
          <spPr>
            <a:ln>
              <a:prstDash val="solid"/>
            </a:ln>
          </spPr>
          <cat>
            <numRef>
              <f>'Nómina Empleados'!$A$5:$A$7</f>
            </numRef>
          </cat>
          <val>
            <numRef>
              <f>'Nómina Empleados'!$G$5:$G$7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Neto (MXN)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Empleado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6" customWidth="1" min="4" max="4"/>
    <col width="15" customWidth="1" min="5" max="5"/>
    <col width="16" customWidth="1" min="6" max="6"/>
    <col width="16" customWidth="1" min="7" max="7"/>
    <col width="15" customWidth="1" min="8" max="8"/>
    <col width="24" customWidth="1" min="9" max="9"/>
    <col width="36" customWidth="1" min="10" max="10"/>
  </cols>
  <sheetData>
    <row r="1" ht="34" customHeight="1">
      <c r="A1" s="1" t="inlineStr">
        <is>
          <t>Control de Nómina y Desempeño de Empleados</t>
        </is>
      </c>
    </row>
    <row r="2" ht="24" customHeight="1">
      <c r="A2" s="2" t="inlineStr">
        <is>
          <t>Archivo de prueba con 3 empleados; valores en azul son editables y cálculos en negro son fórmulas de Excel.</t>
        </is>
      </c>
    </row>
    <row r="3" ht="24" customHeight="1">
      <c r="A3" s="3" t="inlineStr">
        <is>
          <t>Tabla de empleados</t>
        </is>
      </c>
    </row>
    <row r="4" ht="30" customHeight="1">
      <c r="A4" s="4" t="inlineStr">
        <is>
          <t>Empleado</t>
        </is>
      </c>
      <c r="B4" s="4" t="inlineStr">
        <is>
          <t>Departamento</t>
        </is>
      </c>
      <c r="C4" s="4" t="inlineStr">
        <is>
          <t>Puesto</t>
        </is>
      </c>
      <c r="D4" s="4" t="inlineStr">
        <is>
          <t>Salario Base</t>
        </is>
      </c>
      <c r="E4" s="4" t="inlineStr">
        <is>
          <t>Bonos</t>
        </is>
      </c>
      <c r="F4" s="4" t="inlineStr">
        <is>
          <t>Deducciones</t>
        </is>
      </c>
      <c r="G4" s="4" t="inlineStr">
        <is>
          <t>Total Neto</t>
        </is>
      </c>
      <c r="H4" s="4" t="inlineStr">
        <is>
          <t>Productividad</t>
        </is>
      </c>
      <c r="I4" s="4" t="inlineStr">
        <is>
          <t>Estado</t>
        </is>
      </c>
      <c r="J4" s="4" t="inlineStr">
        <is>
          <t>Observaciones</t>
        </is>
      </c>
    </row>
    <row r="5" ht="26" customHeight="1">
      <c r="A5" s="5" t="inlineStr">
        <is>
          <t>Ana López</t>
        </is>
      </c>
      <c r="B5" s="6" t="inlineStr">
        <is>
          <t>Finanzas</t>
        </is>
      </c>
      <c r="C5" s="5" t="inlineStr">
        <is>
          <t>Analista Financiera</t>
        </is>
      </c>
      <c r="D5" s="7" t="n">
        <v>28000</v>
      </c>
      <c r="E5" s="7" t="n">
        <v>3500</v>
      </c>
      <c r="F5" s="7" t="n">
        <v>2200</v>
      </c>
      <c r="G5" s="8">
        <f>D5+E5-F5</f>
        <v/>
      </c>
      <c r="H5" s="9" t="n">
        <v>0.925</v>
      </c>
      <c r="I5" s="6" t="inlineStr">
        <is>
          <t>Activo</t>
        </is>
      </c>
      <c r="J5" s="10" t="inlineStr">
        <is>
          <t>Buen desempeño y entrega puntual</t>
        </is>
      </c>
    </row>
    <row r="6" ht="26" customHeight="1">
      <c r="A6" s="11" t="inlineStr">
        <is>
          <t>Carlos Méndez</t>
        </is>
      </c>
      <c r="B6" s="12" t="inlineStr">
        <is>
          <t>Operaciones</t>
        </is>
      </c>
      <c r="C6" s="11" t="inlineStr">
        <is>
          <t>Coordinador Logístico</t>
        </is>
      </c>
      <c r="D6" s="13" t="n">
        <v>31000</v>
      </c>
      <c r="E6" s="13" t="n">
        <v>4200</v>
      </c>
      <c r="F6" s="13" t="n">
        <v>2600</v>
      </c>
      <c r="G6" s="14">
        <f>D6+E6-F6</f>
        <v/>
      </c>
      <c r="H6" s="15" t="n">
        <v>0.88</v>
      </c>
      <c r="I6" s="12" t="inlineStr">
        <is>
          <t>Activo</t>
        </is>
      </c>
      <c r="J6" s="16" t="inlineStr">
        <is>
          <t>Pendiente capacitación interna</t>
        </is>
      </c>
    </row>
    <row r="7" ht="26" customHeight="1">
      <c r="A7" s="5" t="inlineStr">
        <is>
          <t>Sofía Rivera</t>
        </is>
      </c>
      <c r="B7" s="6" t="inlineStr">
        <is>
          <t>Tecnología</t>
        </is>
      </c>
      <c r="C7" s="5" t="inlineStr">
        <is>
          <t>Desarrolladora Backend</t>
        </is>
      </c>
      <c r="D7" s="7" t="n">
        <v>35000</v>
      </c>
      <c r="E7" s="7" t="n">
        <v>5000</v>
      </c>
      <c r="F7" s="7" t="n">
        <v>3000</v>
      </c>
      <c r="G7" s="8">
        <f>D7+E7-F7</f>
        <v/>
      </c>
      <c r="H7" s="9" t="n">
        <v>0.74</v>
      </c>
      <c r="I7" s="17" t="inlineStr">
        <is>
          <t>Requiere actualización</t>
        </is>
      </c>
      <c r="J7" s="18" t="inlineStr">
        <is>
          <t>Actualizar contrato y evaluación</t>
        </is>
      </c>
    </row>
    <row r="8" ht="26" customHeight="1">
      <c r="A8" s="19" t="inlineStr">
        <is>
          <t>TOTALES</t>
        </is>
      </c>
      <c r="B8" s="20" t="n"/>
      <c r="C8" s="20" t="n"/>
      <c r="D8" s="21">
        <f>SUM(D5:D7)</f>
        <v/>
      </c>
      <c r="E8" s="21">
        <f>SUM(E5:E7)</f>
        <v/>
      </c>
      <c r="F8" s="21">
        <f>SUM(F5:F7)</f>
        <v/>
      </c>
      <c r="G8" s="21">
        <f>SUM(G5:G7)</f>
        <v/>
      </c>
      <c r="H8" s="22">
        <f>AVERAGE(H5:H7)</f>
        <v/>
      </c>
      <c r="I8" s="20" t="n"/>
      <c r="J8" s="20" t="n"/>
    </row>
    <row r="9" ht="22" customHeight="1"/>
    <row r="10" ht="24" customHeight="1">
      <c r="A10" s="3" t="inlineStr">
        <is>
          <t>Resumen ejecutivo</t>
        </is>
      </c>
    </row>
    <row r="11" ht="32" customHeight="1">
      <c r="A11" s="23" t="inlineStr">
        <is>
          <t>Total Nómina</t>
        </is>
      </c>
      <c r="B11" s="24">
        <f>SUM(G5:G7)</f>
        <v/>
      </c>
      <c r="C11" s="23" t="inlineStr">
        <is>
          <t>Salario Promedio</t>
        </is>
      </c>
      <c r="D11" s="24">
        <f>AVERAGE(D5:D7)</f>
        <v/>
      </c>
      <c r="E11" s="23" t="inlineStr">
        <is>
          <t>Bonos Totales</t>
        </is>
      </c>
      <c r="F11" s="24">
        <f>SUM(E5:E7)</f>
        <v/>
      </c>
      <c r="G11" s="23" t="inlineStr">
        <is>
          <t>Deducciones Totales</t>
        </is>
      </c>
      <c r="H11" s="24">
        <f>SUM(F5:F7)</f>
        <v/>
      </c>
      <c r="I11" s="23" t="inlineStr">
        <is>
          <t>Productividad Prom.</t>
        </is>
      </c>
      <c r="J11" s="25">
        <f>AVERAGE(H5:H7)</f>
        <v/>
      </c>
    </row>
    <row r="12" ht="22" customHeight="1"/>
    <row r="13" ht="30" customHeight="1">
      <c r="A13" s="26" t="inlineStr">
        <is>
          <t>Presupuesto Mensual</t>
        </is>
      </c>
      <c r="B13" s="27" t="n">
        <v>120000</v>
      </c>
      <c r="C13" s="26" t="inlineStr">
        <is>
          <t>Utilización de Presupuesto</t>
        </is>
      </c>
      <c r="D13" s="28">
        <f>B11/B13</f>
        <v/>
      </c>
      <c r="E13" s="26" t="inlineStr">
        <is>
          <t>Empleado con Mayor Neto</t>
        </is>
      </c>
      <c r="F13" s="29">
        <f>INDEX(A5:A7,MATCH(MAX(G5:G7),G5:G7,0))</f>
        <v/>
      </c>
      <c r="G13" s="26" t="inlineStr">
        <is>
          <t>Empleados Activos</t>
        </is>
      </c>
      <c r="H13" s="30">
        <f>COUNTIF(I5:I7,"Activo")</f>
        <v/>
      </c>
      <c r="I13" s="26" t="inlineStr">
        <is>
          <t>Requieren Atención</t>
        </is>
      </c>
      <c r="J13" s="30">
        <f>COUNTIF(I5:I7,"Requiere actualización")</f>
        <v/>
      </c>
    </row>
    <row r="14" ht="22" customHeight="1"/>
    <row r="15" ht="24" customHeight="1">
      <c r="A15" s="3" t="inlineStr">
        <is>
          <t>Reglas de control y notas</t>
        </is>
      </c>
    </row>
    <row r="16" ht="28" customHeight="1">
      <c r="A16" s="31" t="inlineStr">
        <is>
          <t>Total Neto</t>
        </is>
      </c>
      <c r="B16" s="32" t="inlineStr">
        <is>
          <t>Se calcula automáticamente como Salario Base + Bonos - Deducciones.</t>
        </is>
      </c>
    </row>
    <row r="17" ht="28" customHeight="1">
      <c r="A17" s="31" t="inlineStr">
        <is>
          <t>Atención</t>
        </is>
      </c>
      <c r="B17" s="32" t="inlineStr">
        <is>
          <t>Las celdas amarillas indican empleados o datos que requieren revisión o actualización.</t>
        </is>
      </c>
    </row>
    <row r="18" ht="28" customHeight="1">
      <c r="A18" s="31" t="inlineStr">
        <is>
          <t>Inputs</t>
        </is>
      </c>
      <c r="B18" s="32" t="inlineStr">
        <is>
          <t>Los valores en azul pueden modificarse; los resultados en negro se actualizan con fórmulas de Excel.</t>
        </is>
      </c>
    </row>
    <row r="19" ht="22" customHeight="1"/>
    <row r="20" ht="22" customHeight="1"/>
    <row r="21" ht="24" customHeight="1">
      <c r="A21" s="3" t="inlineStr">
        <is>
          <t>Gráfico: Total Neto por Empleado</t>
        </is>
      </c>
    </row>
    <row r="22" ht="300" customHeight="1"/>
  </sheetData>
  <autoFilter ref="A4:J8"/>
  <mergeCells count="9">
    <mergeCell ref="A1:J1"/>
    <mergeCell ref="A3:J3"/>
    <mergeCell ref="A21:J21"/>
    <mergeCell ref="B17:J17"/>
    <mergeCell ref="A15:J15"/>
    <mergeCell ref="B18:J18"/>
    <mergeCell ref="A2:J2"/>
    <mergeCell ref="A10:J10"/>
    <mergeCell ref="B16:J16"/>
  </mergeCells>
  <pageMargins left="0.3" right="0.3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GR-Assistant</dc:creator>
  <dc:title>Control de Nómina y Desempeño de Empleados</dc:title>
  <dc:subject>Tabla de prueba con 3 empleados</dc:subject>
  <dcterms:created xsi:type="dcterms:W3CDTF">2026-06-14T21:29:45Z</dcterms:created>
  <dcterms:modified xsi:type="dcterms:W3CDTF">2026-06-14T21:29:45Z</dcterms:modified>
</cp:coreProperties>
</file>