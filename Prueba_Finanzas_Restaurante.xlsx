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ón Restaurante" sheetId="1" state="visible" r:id="rId1"/>
  </sheets>
  <definedNames>
    <definedName name="_xlnm._FilterDatabase" localSheetId="0" hidden="1">'Proyección Restaurante'!$A$4:$P$32</definedName>
    <definedName name="_xlnm.Print_Titles" localSheetId="0">'Proyección Restaurante'!$1:$4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&quot; MXN&quot;;(#,##0&quot; MXN&quot;);&quot;-&quot;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333333"/>
    </font>
    <font>
      <color rgb="00333333"/>
    </font>
    <font>
      <b val="1"/>
      <color rgb="00FFFFFF"/>
    </font>
    <font>
      <b val="1"/>
      <color rgb="00FFFFFF"/>
      <sz val="12"/>
    </font>
    <font>
      <b val="1"/>
      <color rgb="000000CC"/>
    </font>
    <font>
      <color rgb="00000000"/>
    </font>
    <font>
      <b val="1"/>
      <color rgb="00000000"/>
    </font>
  </fonts>
  <fills count="10">
    <fill>
      <patternFill/>
    </fill>
    <fill>
      <patternFill patternType="gray125"/>
    </fill>
    <fill>
      <patternFill patternType="solid">
        <fgColor rgb="006B1E2E"/>
      </patternFill>
    </fill>
    <fill>
      <patternFill patternType="solid">
        <fgColor rgb="00FDF8F6"/>
      </patternFill>
    </fill>
    <fill>
      <patternFill patternType="solid">
        <fgColor rgb="00FFF9C4"/>
      </patternFill>
    </fill>
    <fill>
      <patternFill patternType="solid">
        <fgColor rgb="00B3472D"/>
      </patternFill>
    </fill>
    <fill>
      <patternFill patternType="solid">
        <fgColor rgb="00FFF4EF"/>
      </patternFill>
    </fill>
    <fill>
      <patternFill patternType="solid">
        <fgColor rgb="00FFF8F5"/>
      </patternFill>
    </fill>
    <fill>
      <patternFill patternType="solid">
        <fgColor rgb="00FCE4D6"/>
      </patternFill>
    </fill>
    <fill>
      <patternFill patternType="solid">
        <fgColor rgb="00FDE9D9"/>
      </patternFill>
    </fill>
  </fills>
  <borders count="4">
    <border>
      <left/>
      <right/>
      <top/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C75C2A"/>
      </left>
      <right style="medium">
        <color rgb="00C75C2A"/>
      </right>
      <top style="medium">
        <color rgb="00C75C2A"/>
      </top>
      <bottom style="medium">
        <color rgb="00C75C2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164" fontId="6" fillId="6" borderId="2" applyAlignment="1" pivotButton="0" quotePrefix="0" xfId="0">
      <alignment horizontal="right" vertical="center"/>
    </xf>
    <xf numFmtId="164" fontId="7" fillId="7" borderId="2" applyAlignment="1" pivotButton="0" quotePrefix="0" xfId="0">
      <alignment horizontal="right" vertical="center"/>
    </xf>
    <xf numFmtId="0" fontId="3" fillId="8" borderId="2" applyAlignment="1" pivotButton="0" quotePrefix="0" xfId="0">
      <alignment horizontal="left" vertical="center" wrapText="1"/>
    </xf>
    <xf numFmtId="164" fontId="6" fillId="8" borderId="2" applyAlignment="1" pivotButton="0" quotePrefix="0" xfId="0">
      <alignment horizontal="right" vertical="center"/>
    </xf>
    <xf numFmtId="0" fontId="8" fillId="9" borderId="3" applyAlignment="1" pivotButton="0" quotePrefix="0" xfId="0">
      <alignment horizontal="left" vertical="center" wrapText="1"/>
    </xf>
    <xf numFmtId="164" fontId="7" fillId="9" borderId="3" applyAlignment="1" pivotButton="0" quotePrefix="0" xfId="0">
      <alignment horizontal="right" vertical="center"/>
    </xf>
    <xf numFmtId="0" fontId="3" fillId="9" borderId="3" applyAlignment="1" pivotButton="0" quotePrefix="0" xfId="0">
      <alignment horizontal="left" vertical="center" wrapText="1"/>
    </xf>
    <xf numFmtId="165" fontId="6" fillId="6" borderId="2" applyAlignment="1" pivotButton="0" quotePrefix="0" xfId="0">
      <alignment horizontal="center" vertical="center"/>
    </xf>
    <xf numFmtId="165" fontId="7" fillId="7" borderId="2" applyAlignment="1" pivotButton="0" quotePrefix="0" xfId="0">
      <alignment horizontal="center" vertical="center"/>
    </xf>
    <xf numFmtId="165" fontId="6" fillId="8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 wrapText="1"/>
    </xf>
    <xf numFmtId="165" fontId="7" fillId="9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 wrapText="1"/>
    </xf>
    <xf numFmtId="0" fontId="7" fillId="4" borderId="3" applyAlignment="1" pivotButton="0" quotePrefix="0" xfId="0">
      <alignment horizontal="center" vertical="center"/>
    </xf>
    <xf numFmtId="164" fontId="8" fillId="6" borderId="3" applyAlignment="1" pivotButton="0" quotePrefix="0" xfId="0">
      <alignment horizontal="right" vertical="center"/>
    </xf>
    <xf numFmtId="165" fontId="8" fillId="6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left" vertical="center" wrapText="1"/>
    </xf>
    <xf numFmtId="0" fontId="7" fillId="4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Ganancia Neta Mensual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'Proyección Restaurante'!$B$4:$M$4</f>
            </numRef>
          </cat>
          <val>
            <numRef>
              <f>'Proyección Restaurante'!$B$29:$M$29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MXN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B1E2E"/>
    <outlinePr summaryBelow="1" summaryRight="1"/>
    <pageSetUpPr/>
  </sheetPr>
  <dimension ref="A1:P3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7" customWidth="1" min="14" max="14"/>
    <col width="19" customWidth="1" min="15" max="15"/>
    <col width="32" customWidth="1" min="16" max="16"/>
  </cols>
  <sheetData>
    <row r="1" ht="36" customHeight="1">
      <c r="A1" s="1" t="inlineStr">
        <is>
          <t>Proyección Financiera Mensual - Restaurante</t>
        </is>
      </c>
    </row>
    <row r="2" ht="26" customHeight="1">
      <c r="A2" s="2" t="inlineStr">
        <is>
          <t>Plantilla editable para 12 meses: ingresos, egresos fijos, egresos variables, margen neto y ganancia neta.</t>
        </is>
      </c>
    </row>
    <row r="3" ht="30" customHeight="1">
      <c r="A3" s="3" t="inlineStr">
        <is>
          <t>Actualiza los valores en azul. Las celdas amarillas indican atención o actualización requerida. Todos los totales y porcentajes usan fórmulas de Excel.</t>
        </is>
      </c>
    </row>
    <row r="4" ht="34" customHeight="1">
      <c r="A4" s="4" t="inlineStr">
        <is>
          <t>Concepto</t>
        </is>
      </c>
      <c r="B4" s="4" t="inlineStr">
        <is>
          <t>Enero</t>
        </is>
      </c>
      <c r="C4" s="4" t="inlineStr">
        <is>
          <t>Febrero</t>
        </is>
      </c>
      <c r="D4" s="4" t="inlineStr">
        <is>
          <t>Marzo</t>
        </is>
      </c>
      <c r="E4" s="4" t="inlineStr">
        <is>
          <t>Abril</t>
        </is>
      </c>
      <c r="F4" s="4" t="inlineStr">
        <is>
          <t>Mayo</t>
        </is>
      </c>
      <c r="G4" s="4" t="inlineStr">
        <is>
          <t>Junio</t>
        </is>
      </c>
      <c r="H4" s="4" t="inlineStr">
        <is>
          <t>Julio</t>
        </is>
      </c>
      <c r="I4" s="4" t="inlineStr">
        <is>
          <t>Agosto</t>
        </is>
      </c>
      <c r="J4" s="4" t="inlineStr">
        <is>
          <t>Septiembre</t>
        </is>
      </c>
      <c r="K4" s="4" t="inlineStr">
        <is>
          <t>Octubre</t>
        </is>
      </c>
      <c r="L4" s="4" t="inlineStr">
        <is>
          <t>Noviembre</t>
        </is>
      </c>
      <c r="M4" s="4" t="inlineStr">
        <is>
          <t>Diciembre</t>
        </is>
      </c>
      <c r="N4" s="4" t="inlineStr">
        <is>
          <t>Total Anual</t>
        </is>
      </c>
      <c r="O4" s="4" t="inlineStr">
        <is>
          <t>Promedio Mensual</t>
        </is>
      </c>
      <c r="P4" s="4" t="inlineStr">
        <is>
          <t>Notas</t>
        </is>
      </c>
    </row>
    <row r="5" ht="22" customHeight="1"/>
    <row r="6" ht="28" customHeight="1">
      <c r="A6" s="5" t="inlineStr">
        <is>
          <t>Ingresos</t>
        </is>
      </c>
    </row>
    <row r="7" ht="22" customHeight="1">
      <c r="A7" s="6" t="inlineStr">
        <is>
          <t>Comida</t>
        </is>
      </c>
      <c r="B7" s="7" t="n">
        <v>320000</v>
      </c>
      <c r="C7" s="7" t="n">
        <v>330000</v>
      </c>
      <c r="D7" s="7" t="n">
        <v>350000</v>
      </c>
      <c r="E7" s="7" t="n">
        <v>360000</v>
      </c>
      <c r="F7" s="7" t="n">
        <v>375000</v>
      </c>
      <c r="G7" s="7" t="n">
        <v>390000</v>
      </c>
      <c r="H7" s="7" t="n">
        <v>405000</v>
      </c>
      <c r="I7" s="7" t="n">
        <v>410000</v>
      </c>
      <c r="J7" s="7" t="n">
        <v>395000</v>
      </c>
      <c r="K7" s="7" t="n">
        <v>420000</v>
      </c>
      <c r="L7" s="7" t="n">
        <v>455000</v>
      </c>
      <c r="M7" s="7" t="n">
        <v>500000</v>
      </c>
      <c r="N7" s="8">
        <f>SUM(B7:M7)</f>
        <v/>
      </c>
      <c r="O7" s="8">
        <f>AVERAGE(B7:M7)</f>
        <v/>
      </c>
      <c r="P7" s="6" t="inlineStr">
        <is>
          <t>Ingreso mensual editable por ventas de comida.</t>
        </is>
      </c>
    </row>
    <row r="8" ht="22" customHeight="1">
      <c r="A8" s="9" t="inlineStr">
        <is>
          <t>Bebidas</t>
        </is>
      </c>
      <c r="B8" s="10" t="n">
        <v>85000</v>
      </c>
      <c r="C8" s="10" t="n">
        <v>88000</v>
      </c>
      <c r="D8" s="10" t="n">
        <v>92000</v>
      </c>
      <c r="E8" s="10" t="n">
        <v>95000</v>
      </c>
      <c r="F8" s="10" t="n">
        <v>100000</v>
      </c>
      <c r="G8" s="10" t="n">
        <v>105000</v>
      </c>
      <c r="H8" s="10" t="n">
        <v>110000</v>
      </c>
      <c r="I8" s="10" t="n">
        <v>112000</v>
      </c>
      <c r="J8" s="10" t="n">
        <v>108000</v>
      </c>
      <c r="K8" s="10" t="n">
        <v>115000</v>
      </c>
      <c r="L8" s="10" t="n">
        <v>125000</v>
      </c>
      <c r="M8" s="10" t="n">
        <v>135000</v>
      </c>
      <c r="N8" s="8">
        <f>SUM(B8:M8)</f>
        <v/>
      </c>
      <c r="O8" s="8">
        <f>AVERAGE(B8:M8)</f>
        <v/>
      </c>
      <c r="P8" s="9" t="inlineStr">
        <is>
          <t>Ingreso mensual editable por ventas de bebidas.</t>
        </is>
      </c>
    </row>
    <row r="9" ht="22" customHeight="1">
      <c r="A9" s="6" t="inlineStr">
        <is>
          <t>Eventos</t>
        </is>
      </c>
      <c r="B9" s="7" t="n">
        <v>20000</v>
      </c>
      <c r="C9" s="7" t="n">
        <v>25000</v>
      </c>
      <c r="D9" s="7" t="n">
        <v>30000</v>
      </c>
      <c r="E9" s="7" t="n">
        <v>35000</v>
      </c>
      <c r="F9" s="7" t="n">
        <v>40000</v>
      </c>
      <c r="G9" s="7" t="n">
        <v>45000</v>
      </c>
      <c r="H9" s="7" t="n">
        <v>50000</v>
      </c>
      <c r="I9" s="7" t="n">
        <v>45000</v>
      </c>
      <c r="J9" s="7" t="n">
        <v>40000</v>
      </c>
      <c r="K9" s="7" t="n">
        <v>55000</v>
      </c>
      <c r="L9" s="7" t="n">
        <v>70000</v>
      </c>
      <c r="M9" s="7" t="n">
        <v>90000</v>
      </c>
      <c r="N9" s="8">
        <f>SUM(B9:M9)</f>
        <v/>
      </c>
      <c r="O9" s="8">
        <f>AVERAGE(B9:M9)</f>
        <v/>
      </c>
      <c r="P9" s="6" t="inlineStr">
        <is>
          <t>Ingreso mensual editable por eventos, caterings o reservaciones especiales.</t>
        </is>
      </c>
    </row>
    <row r="10" ht="22" customHeight="1">
      <c r="A10" s="11" t="inlineStr">
        <is>
          <t>Total Ingresos</t>
        </is>
      </c>
      <c r="B10" s="12">
        <f>B7+B8+B9</f>
        <v/>
      </c>
      <c r="C10" s="12">
        <f>C7+C8+C9</f>
        <v/>
      </c>
      <c r="D10" s="12">
        <f>D7+D8+D9</f>
        <v/>
      </c>
      <c r="E10" s="12">
        <f>E7+E8+E9</f>
        <v/>
      </c>
      <c r="F10" s="12">
        <f>F7+F8+F9</f>
        <v/>
      </c>
      <c r="G10" s="12">
        <f>G7+G8+G9</f>
        <v/>
      </c>
      <c r="H10" s="12">
        <f>H7+H8+H9</f>
        <v/>
      </c>
      <c r="I10" s="12">
        <f>I7+I8+I9</f>
        <v/>
      </c>
      <c r="J10" s="12">
        <f>J7+J8+J9</f>
        <v/>
      </c>
      <c r="K10" s="12">
        <f>K7+K8+K9</f>
        <v/>
      </c>
      <c r="L10" s="12">
        <f>L7+L8+L9</f>
        <v/>
      </c>
      <c r="M10" s="12">
        <f>M7+M8+M9</f>
        <v/>
      </c>
      <c r="N10" s="12">
        <f>SUM(B10:M10)</f>
        <v/>
      </c>
      <c r="O10" s="12">
        <f>AVERAGE(B10:M10)</f>
        <v/>
      </c>
      <c r="P10" s="13" t="inlineStr">
        <is>
          <t>Fórmula: suma de comida, bebidas y eventos.</t>
        </is>
      </c>
    </row>
    <row r="11" ht="22" customHeight="1"/>
    <row r="12" ht="28" customHeight="1">
      <c r="A12" s="5" t="inlineStr">
        <is>
          <t>Egresos Fijos</t>
        </is>
      </c>
    </row>
    <row r="13" ht="22" customHeight="1">
      <c r="A13" s="6" t="inlineStr">
        <is>
          <t>Renta</t>
        </is>
      </c>
      <c r="B13" s="7" t="n">
        <v>75000</v>
      </c>
      <c r="C13" s="7" t="n">
        <v>75000</v>
      </c>
      <c r="D13" s="7" t="n">
        <v>75000</v>
      </c>
      <c r="E13" s="7" t="n">
        <v>75000</v>
      </c>
      <c r="F13" s="7" t="n">
        <v>75000</v>
      </c>
      <c r="G13" s="7" t="n">
        <v>75000</v>
      </c>
      <c r="H13" s="7" t="n">
        <v>75000</v>
      </c>
      <c r="I13" s="7" t="n">
        <v>75000</v>
      </c>
      <c r="J13" s="7" t="n">
        <v>75000</v>
      </c>
      <c r="K13" s="7" t="n">
        <v>75000</v>
      </c>
      <c r="L13" s="7" t="n">
        <v>75000</v>
      </c>
      <c r="M13" s="7" t="n">
        <v>75000</v>
      </c>
      <c r="N13" s="8">
        <f>SUM(B13:M13)</f>
        <v/>
      </c>
      <c r="O13" s="8">
        <f>AVERAGE(B13:M13)</f>
        <v/>
      </c>
      <c r="P13" s="6" t="inlineStr">
        <is>
          <t>Renta mensual editable del local.</t>
        </is>
      </c>
    </row>
    <row r="14" ht="22" customHeight="1">
      <c r="A14" s="9" t="inlineStr">
        <is>
          <t>Sueldos</t>
        </is>
      </c>
      <c r="B14" s="10" t="n">
        <v>180000</v>
      </c>
      <c r="C14" s="10" t="n">
        <v>180000</v>
      </c>
      <c r="D14" s="10" t="n">
        <v>180000</v>
      </c>
      <c r="E14" s="10" t="n">
        <v>180000</v>
      </c>
      <c r="F14" s="10" t="n">
        <v>180000</v>
      </c>
      <c r="G14" s="10" t="n">
        <v>180000</v>
      </c>
      <c r="H14" s="10" t="n">
        <v>180000</v>
      </c>
      <c r="I14" s="10" t="n">
        <v>180000</v>
      </c>
      <c r="J14" s="10" t="n">
        <v>180000</v>
      </c>
      <c r="K14" s="10" t="n">
        <v>180000</v>
      </c>
      <c r="L14" s="10" t="n">
        <v>180000</v>
      </c>
      <c r="M14" s="10" t="n">
        <v>180000</v>
      </c>
      <c r="N14" s="8">
        <f>SUM(B14:M14)</f>
        <v/>
      </c>
      <c r="O14" s="8">
        <f>AVERAGE(B14:M14)</f>
        <v/>
      </c>
      <c r="P14" s="9" t="inlineStr">
        <is>
          <t>Sueldos fijos mensuales editables.</t>
        </is>
      </c>
    </row>
    <row r="15" ht="22" customHeight="1">
      <c r="A15" s="6" t="inlineStr">
        <is>
          <t>Luz</t>
        </is>
      </c>
      <c r="B15" s="7" t="n">
        <v>18000</v>
      </c>
      <c r="C15" s="7" t="n">
        <v>19000</v>
      </c>
      <c r="D15" s="7" t="n">
        <v>20000</v>
      </c>
      <c r="E15" s="7" t="n">
        <v>21000</v>
      </c>
      <c r="F15" s="7" t="n">
        <v>22000</v>
      </c>
      <c r="G15" s="7" t="n">
        <v>24000</v>
      </c>
      <c r="H15" s="7" t="n">
        <v>25000</v>
      </c>
      <c r="I15" s="7" t="n">
        <v>25000</v>
      </c>
      <c r="J15" s="7" t="n">
        <v>23000</v>
      </c>
      <c r="K15" s="7" t="n">
        <v>22000</v>
      </c>
      <c r="L15" s="7" t="n">
        <v>21000</v>
      </c>
      <c r="M15" s="7" t="n">
        <v>20000</v>
      </c>
      <c r="N15" s="8">
        <f>SUM(B15:M15)</f>
        <v/>
      </c>
      <c r="O15" s="8">
        <f>AVERAGE(B15:M15)</f>
        <v/>
      </c>
      <c r="P15" s="6" t="inlineStr">
        <is>
          <t>Consumo estimado mensual editable de energía eléctrica.</t>
        </is>
      </c>
    </row>
    <row r="16" ht="22" customHeight="1">
      <c r="A16" s="11" t="inlineStr">
        <is>
          <t>Total Egresos Fijos</t>
        </is>
      </c>
      <c r="B16" s="12">
        <f>B13+B14+B15</f>
        <v/>
      </c>
      <c r="C16" s="12">
        <f>C13+C14+C15</f>
        <v/>
      </c>
      <c r="D16" s="12">
        <f>D13+D14+D15</f>
        <v/>
      </c>
      <c r="E16" s="12">
        <f>E13+E14+E15</f>
        <v/>
      </c>
      <c r="F16" s="12">
        <f>F13+F14+F15</f>
        <v/>
      </c>
      <c r="G16" s="12">
        <f>G13+G14+G15</f>
        <v/>
      </c>
      <c r="H16" s="12">
        <f>H13+H14+H15</f>
        <v/>
      </c>
      <c r="I16" s="12">
        <f>I13+I14+I15</f>
        <v/>
      </c>
      <c r="J16" s="12">
        <f>J13+J14+J15</f>
        <v/>
      </c>
      <c r="K16" s="12">
        <f>K13+K14+K15</f>
        <v/>
      </c>
      <c r="L16" s="12">
        <f>L13+L14+L15</f>
        <v/>
      </c>
      <c r="M16" s="12">
        <f>M13+M14+M15</f>
        <v/>
      </c>
      <c r="N16" s="12">
        <f>SUM(B16:M16)</f>
        <v/>
      </c>
      <c r="O16" s="12">
        <f>AVERAGE(B16:M16)</f>
        <v/>
      </c>
      <c r="P16" s="13" t="inlineStr">
        <is>
          <t>Fórmula: suma de renta, sueldos y luz.</t>
        </is>
      </c>
    </row>
    <row r="17" ht="22" customHeight="1"/>
    <row r="18" ht="28" customHeight="1">
      <c r="A18" s="5" t="inlineStr">
        <is>
          <t>Supuestos de Egresos Variables</t>
        </is>
      </c>
    </row>
    <row r="19" ht="22" customHeight="1">
      <c r="A19" s="6" t="inlineStr">
        <is>
          <t>% Materia Prima</t>
        </is>
      </c>
      <c r="B19" s="14" t="n">
        <v>0.34</v>
      </c>
      <c r="C19" s="14" t="n">
        <v>0.34</v>
      </c>
      <c r="D19" s="14" t="n">
        <v>0.335</v>
      </c>
      <c r="E19" s="14" t="n">
        <v>0.335</v>
      </c>
      <c r="F19" s="14" t="n">
        <v>0.34</v>
      </c>
      <c r="G19" s="14" t="n">
        <v>0.34</v>
      </c>
      <c r="H19" s="14" t="n">
        <v>0.345</v>
      </c>
      <c r="I19" s="14" t="n">
        <v>0.345</v>
      </c>
      <c r="J19" s="14" t="n">
        <v>0.34</v>
      </c>
      <c r="K19" s="14" t="n">
        <v>0.34</v>
      </c>
      <c r="L19" s="14" t="n">
        <v>0.34</v>
      </c>
      <c r="M19" s="14" t="n">
        <v>0.35</v>
      </c>
      <c r="N19" s="15">
        <f>AVERAGE(B19:M19)</f>
        <v/>
      </c>
      <c r="O19" s="15">
        <f>AVERAGE(B19:M19)</f>
        <v/>
      </c>
      <c r="P19" s="6" t="inlineStr">
        <is>
          <t>Porcentaje editable sobre ingresos para costo de materia prima.</t>
        </is>
      </c>
    </row>
    <row r="20" ht="22" customHeight="1">
      <c r="A20" s="9" t="inlineStr">
        <is>
          <t>% Marketing</t>
        </is>
      </c>
      <c r="B20" s="16" t="n">
        <v>0.06</v>
      </c>
      <c r="C20" s="16" t="n">
        <v>0.06</v>
      </c>
      <c r="D20" s="16" t="n">
        <v>0.06</v>
      </c>
      <c r="E20" s="16" t="n">
        <v>0.06</v>
      </c>
      <c r="F20" s="16" t="n">
        <v>0.06</v>
      </c>
      <c r="G20" s="16" t="n">
        <v>0.06</v>
      </c>
      <c r="H20" s="16" t="n">
        <v>0.06</v>
      </c>
      <c r="I20" s="16" t="n">
        <v>0.06</v>
      </c>
      <c r="J20" s="16" t="n">
        <v>0.06</v>
      </c>
      <c r="K20" s="16" t="n">
        <v>0.06</v>
      </c>
      <c r="L20" s="16" t="n">
        <v>0.06</v>
      </c>
      <c r="M20" s="16" t="n">
        <v>0.06</v>
      </c>
      <c r="N20" s="15">
        <f>AVERAGE(B20:M20)</f>
        <v/>
      </c>
      <c r="O20" s="15">
        <f>AVERAGE(B20:M20)</f>
        <v/>
      </c>
      <c r="P20" s="9" t="inlineStr">
        <is>
          <t>Porcentaje editable sobre ingresos para marketing mensual.</t>
        </is>
      </c>
    </row>
    <row r="21" ht="22" customHeight="1"/>
    <row r="22" ht="28" customHeight="1">
      <c r="A22" s="5" t="inlineStr">
        <is>
          <t>Egresos Variables</t>
        </is>
      </c>
    </row>
    <row r="23" ht="22" customHeight="1">
      <c r="A23" s="17" t="inlineStr">
        <is>
          <t>Materia Prima</t>
        </is>
      </c>
      <c r="B23" s="8">
        <f>B10*B19</f>
        <v/>
      </c>
      <c r="C23" s="8">
        <f>C10*C19</f>
        <v/>
      </c>
      <c r="D23" s="8">
        <f>D10*D19</f>
        <v/>
      </c>
      <c r="E23" s="8">
        <f>E10*E19</f>
        <v/>
      </c>
      <c r="F23" s="8">
        <f>F10*F19</f>
        <v/>
      </c>
      <c r="G23" s="8">
        <f>G10*G19</f>
        <v/>
      </c>
      <c r="H23" s="8">
        <f>H10*H19</f>
        <v/>
      </c>
      <c r="I23" s="8">
        <f>I10*I19</f>
        <v/>
      </c>
      <c r="J23" s="8">
        <f>J10*J19</f>
        <v/>
      </c>
      <c r="K23" s="8">
        <f>K10*K19</f>
        <v/>
      </c>
      <c r="L23" s="8">
        <f>L10*L19</f>
        <v/>
      </c>
      <c r="M23" s="8">
        <f>M10*M19</f>
        <v/>
      </c>
      <c r="N23" s="8">
        <f>SUM(B23:M23)</f>
        <v/>
      </c>
      <c r="O23" s="8">
        <f>AVERAGE(B23:M23)</f>
        <v/>
      </c>
      <c r="P23" s="17" t="inlineStr">
        <is>
          <t>Fórmula: ingresos totales × % materia prima.</t>
        </is>
      </c>
    </row>
    <row r="24" ht="22" customHeight="1">
      <c r="A24" s="17" t="inlineStr">
        <is>
          <t>Marketing</t>
        </is>
      </c>
      <c r="B24" s="8">
        <f>B10*B20</f>
        <v/>
      </c>
      <c r="C24" s="8">
        <f>C10*C20</f>
        <v/>
      </c>
      <c r="D24" s="8">
        <f>D10*D20</f>
        <v/>
      </c>
      <c r="E24" s="8">
        <f>E10*E20</f>
        <v/>
      </c>
      <c r="F24" s="8">
        <f>F10*F20</f>
        <v/>
      </c>
      <c r="G24" s="8">
        <f>G10*G20</f>
        <v/>
      </c>
      <c r="H24" s="8">
        <f>H10*H20</f>
        <v/>
      </c>
      <c r="I24" s="8">
        <f>I10*I20</f>
        <v/>
      </c>
      <c r="J24" s="8">
        <f>J10*J20</f>
        <v/>
      </c>
      <c r="K24" s="8">
        <f>K10*K20</f>
        <v/>
      </c>
      <c r="L24" s="8">
        <f>L10*L20</f>
        <v/>
      </c>
      <c r="M24" s="8">
        <f>M10*M20</f>
        <v/>
      </c>
      <c r="N24" s="8">
        <f>SUM(B24:M24)</f>
        <v/>
      </c>
      <c r="O24" s="8">
        <f>AVERAGE(B24:M24)</f>
        <v/>
      </c>
      <c r="P24" s="17" t="inlineStr">
        <is>
          <t>Fórmula: ingresos totales × % marketing.</t>
        </is>
      </c>
    </row>
    <row r="25" ht="22" customHeight="1">
      <c r="A25" s="11" t="inlineStr">
        <is>
          <t>Total Egresos Variables</t>
        </is>
      </c>
      <c r="B25" s="12">
        <f>B23+B24</f>
        <v/>
      </c>
      <c r="C25" s="12">
        <f>C23+C24</f>
        <v/>
      </c>
      <c r="D25" s="12">
        <f>D23+D24</f>
        <v/>
      </c>
      <c r="E25" s="12">
        <f>E23+E24</f>
        <v/>
      </c>
      <c r="F25" s="12">
        <f>F23+F24</f>
        <v/>
      </c>
      <c r="G25" s="12">
        <f>G23+G24</f>
        <v/>
      </c>
      <c r="H25" s="12">
        <f>H23+H24</f>
        <v/>
      </c>
      <c r="I25" s="12">
        <f>I23+I24</f>
        <v/>
      </c>
      <c r="J25" s="12">
        <f>J23+J24</f>
        <v/>
      </c>
      <c r="K25" s="12">
        <f>K23+K24</f>
        <v/>
      </c>
      <c r="L25" s="12">
        <f>L23+L24</f>
        <v/>
      </c>
      <c r="M25" s="12">
        <f>M23+M24</f>
        <v/>
      </c>
      <c r="N25" s="12">
        <f>SUM(B25:M25)</f>
        <v/>
      </c>
      <c r="O25" s="12">
        <f>AVERAGE(B25:M25)</f>
        <v/>
      </c>
      <c r="P25" s="13" t="inlineStr">
        <is>
          <t>Fórmula: materia prima + marketing.</t>
        </is>
      </c>
    </row>
    <row r="26" ht="22" customHeight="1"/>
    <row r="27" ht="28" customHeight="1">
      <c r="A27" s="5" t="inlineStr">
        <is>
          <t>Resultados Financieros</t>
        </is>
      </c>
    </row>
    <row r="28" ht="22" customHeight="1">
      <c r="A28" s="11" t="inlineStr">
        <is>
          <t>Total Egresos</t>
        </is>
      </c>
      <c r="B28" s="12">
        <f>B16+B25</f>
        <v/>
      </c>
      <c r="C28" s="12">
        <f>C16+C25</f>
        <v/>
      </c>
      <c r="D28" s="12">
        <f>D16+D25</f>
        <v/>
      </c>
      <c r="E28" s="12">
        <f>E16+E25</f>
        <v/>
      </c>
      <c r="F28" s="12">
        <f>F16+F25</f>
        <v/>
      </c>
      <c r="G28" s="12">
        <f>G16+G25</f>
        <v/>
      </c>
      <c r="H28" s="12">
        <f>H16+H25</f>
        <v/>
      </c>
      <c r="I28" s="12">
        <f>I16+I25</f>
        <v/>
      </c>
      <c r="J28" s="12">
        <f>J16+J25</f>
        <v/>
      </c>
      <c r="K28" s="12">
        <f>K16+K25</f>
        <v/>
      </c>
      <c r="L28" s="12">
        <f>L16+L25</f>
        <v/>
      </c>
      <c r="M28" s="12">
        <f>M16+M25</f>
        <v/>
      </c>
      <c r="N28" s="12">
        <f>SUM(B28:M28)</f>
        <v/>
      </c>
      <c r="O28" s="12">
        <f>AVERAGE(B28:M28)</f>
        <v/>
      </c>
      <c r="P28" s="13" t="inlineStr">
        <is>
          <t>Fórmula: egresos fijos + egresos variables.</t>
        </is>
      </c>
    </row>
    <row r="29" ht="22" customHeight="1">
      <c r="A29" s="11" t="inlineStr">
        <is>
          <t>Ganancia Neta</t>
        </is>
      </c>
      <c r="B29" s="12">
        <f>B10-B28</f>
        <v/>
      </c>
      <c r="C29" s="12">
        <f>C10-C28</f>
        <v/>
      </c>
      <c r="D29" s="12">
        <f>D10-D28</f>
        <v/>
      </c>
      <c r="E29" s="12">
        <f>E10-E28</f>
        <v/>
      </c>
      <c r="F29" s="12">
        <f>F10-F28</f>
        <v/>
      </c>
      <c r="G29" s="12">
        <f>G10-G28</f>
        <v/>
      </c>
      <c r="H29" s="12">
        <f>H10-H28</f>
        <v/>
      </c>
      <c r="I29" s="12">
        <f>I10-I28</f>
        <v/>
      </c>
      <c r="J29" s="12">
        <f>J10-J28</f>
        <v/>
      </c>
      <c r="K29" s="12">
        <f>K10-K28</f>
        <v/>
      </c>
      <c r="L29" s="12">
        <f>L10-L28</f>
        <v/>
      </c>
      <c r="M29" s="12">
        <f>M10-M28</f>
        <v/>
      </c>
      <c r="N29" s="12">
        <f>SUM(B29:M29)</f>
        <v/>
      </c>
      <c r="O29" s="12">
        <f>AVERAGE(B29:M29)</f>
        <v/>
      </c>
      <c r="P29" s="13" t="inlineStr">
        <is>
          <t>Fórmula: ingresos totales - egresos totales.</t>
        </is>
      </c>
    </row>
    <row r="30" ht="22" customHeight="1">
      <c r="A30" s="11" t="inlineStr">
        <is>
          <t>Margen Neto</t>
        </is>
      </c>
      <c r="B30" s="18">
        <f>IFERROR(B29/B10,0)</f>
        <v/>
      </c>
      <c r="C30" s="18">
        <f>IFERROR(C29/C10,0)</f>
        <v/>
      </c>
      <c r="D30" s="18">
        <f>IFERROR(D29/D10,0)</f>
        <v/>
      </c>
      <c r="E30" s="18">
        <f>IFERROR(E29/E10,0)</f>
        <v/>
      </c>
      <c r="F30" s="18">
        <f>IFERROR(F29/F10,0)</f>
        <v/>
      </c>
      <c r="G30" s="18">
        <f>IFERROR(G29/G10,0)</f>
        <v/>
      </c>
      <c r="H30" s="18">
        <f>IFERROR(H29/H10,0)</f>
        <v/>
      </c>
      <c r="I30" s="18">
        <f>IFERROR(I29/I10,0)</f>
        <v/>
      </c>
      <c r="J30" s="18">
        <f>IFERROR(J29/J10,0)</f>
        <v/>
      </c>
      <c r="K30" s="18">
        <f>IFERROR(K29/K10,0)</f>
        <v/>
      </c>
      <c r="L30" s="18">
        <f>IFERROR(L29/L10,0)</f>
        <v/>
      </c>
      <c r="M30" s="18">
        <f>IFERROR(M29/M10,0)</f>
        <v/>
      </c>
      <c r="N30" s="18">
        <f>AVERAGE(B30:M30)</f>
        <v/>
      </c>
      <c r="O30" s="18">
        <f>AVERAGE(B30:M30)</f>
        <v/>
      </c>
      <c r="P30" s="13" t="inlineStr">
        <is>
          <t>Fórmula: ganancia neta / ingresos totales.</t>
        </is>
      </c>
    </row>
    <row r="31" ht="22" customHeight="1">
      <c r="A31" s="11" t="inlineStr">
        <is>
          <t>Flujo Acumulado</t>
        </is>
      </c>
      <c r="B31" s="12">
        <f>B29</f>
        <v/>
      </c>
      <c r="C31" s="12">
        <f>B31+C29</f>
        <v/>
      </c>
      <c r="D31" s="12">
        <f>C31+D29</f>
        <v/>
      </c>
      <c r="E31" s="12">
        <f>D31+E29</f>
        <v/>
      </c>
      <c r="F31" s="12">
        <f>E31+F29</f>
        <v/>
      </c>
      <c r="G31" s="12">
        <f>F31+G29</f>
        <v/>
      </c>
      <c r="H31" s="12">
        <f>G31+H29</f>
        <v/>
      </c>
      <c r="I31" s="12">
        <f>H31+I29</f>
        <v/>
      </c>
      <c r="J31" s="12">
        <f>I31+J29</f>
        <v/>
      </c>
      <c r="K31" s="12">
        <f>J31+K29</f>
        <v/>
      </c>
      <c r="L31" s="12">
        <f>K31+L29</f>
        <v/>
      </c>
      <c r="M31" s="12">
        <f>L31+M29</f>
        <v/>
      </c>
      <c r="N31" s="12">
        <f>M31</f>
        <v/>
      </c>
      <c r="O31" s="12">
        <f>AVERAGE(B31:M31)</f>
        <v/>
      </c>
      <c r="P31" s="13" t="inlineStr">
        <is>
          <t>Fórmula: acumulado mensual de ganancia neta.</t>
        </is>
      </c>
    </row>
    <row r="32" ht="22" customHeight="1">
      <c r="A32" s="19" t="inlineStr">
        <is>
          <t>Alerta de Margen</t>
        </is>
      </c>
      <c r="B32" s="20">
        <f>IF(B30&lt;10%,"Revisar","OK")</f>
        <v/>
      </c>
      <c r="C32" s="20">
        <f>IF(C30&lt;10%,"Revisar","OK")</f>
        <v/>
      </c>
      <c r="D32" s="20">
        <f>IF(D30&lt;10%,"Revisar","OK")</f>
        <v/>
      </c>
      <c r="E32" s="20">
        <f>IF(E30&lt;10%,"Revisar","OK")</f>
        <v/>
      </c>
      <c r="F32" s="20">
        <f>IF(F30&lt;10%,"Revisar","OK")</f>
        <v/>
      </c>
      <c r="G32" s="20">
        <f>IF(G30&lt;10%,"Revisar","OK")</f>
        <v/>
      </c>
      <c r="H32" s="20">
        <f>IF(H30&lt;10%,"Revisar","OK")</f>
        <v/>
      </c>
      <c r="I32" s="20">
        <f>IF(I30&lt;10%,"Revisar","OK")</f>
        <v/>
      </c>
      <c r="J32" s="20">
        <f>IF(J30&lt;10%,"Revisar","OK")</f>
        <v/>
      </c>
      <c r="K32" s="20">
        <f>IF(K30&lt;10%,"Revisar","OK")</f>
        <v/>
      </c>
      <c r="L32" s="20">
        <f>IF(L30&lt;10%,"Revisar","OK")</f>
        <v/>
      </c>
      <c r="M32" s="20">
        <f>IF(M30&lt;10%,"Revisar","OK")</f>
        <v/>
      </c>
      <c r="N32" s="20">
        <f>IF(COUNTIF(B32:M32,"Revisar")&gt;0,"Revisar","OK")</f>
        <v/>
      </c>
      <c r="O32" s="20">
        <f>N32</f>
        <v/>
      </c>
      <c r="P32" s="19" t="inlineStr">
        <is>
          <t>Revisar meses con margen inferior a 10%.</t>
        </is>
      </c>
    </row>
    <row r="33" ht="22" customHeight="1"/>
    <row r="34" ht="28" customHeight="1">
      <c r="A34" s="5" t="inlineStr">
        <is>
          <t>Indicadores Clave</t>
        </is>
      </c>
    </row>
    <row r="35" ht="22" customHeight="1">
      <c r="A35" s="21">
        <f>N10</f>
        <v/>
      </c>
      <c r="C35" s="21">
        <f>N28</f>
        <v/>
      </c>
      <c r="E35" s="21">
        <f>N29</f>
        <v/>
      </c>
      <c r="G35" s="22">
        <f>N29/N10</f>
        <v/>
      </c>
      <c r="I35" s="23">
        <f>INDEX($B$4:$M$4,MATCH(MAX($B$29:$M$29),$B$29:$M$29,0))</f>
        <v/>
      </c>
      <c r="K35" s="23">
        <f>INDEX($B$4:$M$4,MATCH(MIN($B$29:$M$29),$B$29:$M$29,0))</f>
        <v/>
      </c>
      <c r="M35" s="21">
        <f>N16/(1-N25/N10)/12</f>
        <v/>
      </c>
      <c r="O35" s="22">
        <f>1-N25/N10</f>
        <v/>
      </c>
    </row>
    <row r="36" ht="22" customHeight="1">
      <c r="A36" s="24">
        <f>IF(N29&gt;0,"La proyección anual muestra utilidad positiva.","Revisar: la proyección anual muestra pérdida; ajuste ingresos, costos o gastos.")</f>
        <v/>
      </c>
    </row>
    <row r="37" ht="48" customHeight="1">
      <c r="A37" s="25">
        <f>IF(N29&gt;0,"La proyección anual muestra utilidad positiva.","Revisar: la proyección anual muestra pérdida; ajuste ingresos, costos o gastos.")</f>
        <v/>
      </c>
    </row>
    <row r="38" ht="22" customHeight="1"/>
    <row r="39" ht="28" customHeight="1">
      <c r="A39" s="5" t="inlineStr">
        <is>
          <t>Gráfico de Ganancia Neta Mensual</t>
        </is>
      </c>
    </row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</sheetData>
  <autoFilter ref="A4:P32"/>
  <mergeCells count="20">
    <mergeCell ref="A22:P22"/>
    <mergeCell ref="A36:B36"/>
    <mergeCell ref="C35:D35"/>
    <mergeCell ref="E35:F35"/>
    <mergeCell ref="K35:L35"/>
    <mergeCell ref="M35:N35"/>
    <mergeCell ref="A39:P39"/>
    <mergeCell ref="A34:P34"/>
    <mergeCell ref="O35:P35"/>
    <mergeCell ref="A1:P1"/>
    <mergeCell ref="A6:P6"/>
    <mergeCell ref="A35:B35"/>
    <mergeCell ref="G35:H35"/>
    <mergeCell ref="I35:J35"/>
    <mergeCell ref="A37:P37"/>
    <mergeCell ref="A18:P18"/>
    <mergeCell ref="A27:P27"/>
    <mergeCell ref="A12:P12"/>
    <mergeCell ref="A3:P3"/>
    <mergeCell ref="A2:P2"/>
  </mergeCells>
  <pageMargins left="0.3" right="0.3" top="0.5" bottom="0.5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GR-Assistant</dc:creator>
  <dc:title>Proyección Financiera Mensual - Restaurante</dc:title>
  <dc:subject>Plantilla de proyección financiera mensual para 12 meses</dc:subject>
  <dcterms:created xsi:type="dcterms:W3CDTF">2026-06-14T21:39:02Z</dcterms:created>
  <dcterms:modified xsi:type="dcterms:W3CDTF">2026-06-14T21:39:02Z</dcterms:modified>
</cp:coreProperties>
</file>